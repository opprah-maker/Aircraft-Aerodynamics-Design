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student\Documents\Aerodynamics\Assesment and Exam\"/>
    </mc:Choice>
  </mc:AlternateContent>
  <xr:revisionPtr revIDLastSave="0" documentId="8_{11598B15-0695-41EE-88B4-903E3FF987D1}" xr6:coauthVersionLast="47" xr6:coauthVersionMax="47" xr10:uidLastSave="{00000000-0000-0000-0000-000000000000}"/>
  <bookViews>
    <workbookView xWindow="-108" yWindow="-108" windowWidth="23256" windowHeight="12456" xr2:uid="{7DB99B04-A7DD-4642-B161-F952857ED09C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" l="1"/>
  <c r="E28" i="1"/>
  <c r="E27" i="1"/>
  <c r="H21" i="1"/>
  <c r="E21" i="1"/>
  <c r="H20" i="1"/>
  <c r="E20" i="1"/>
  <c r="H19" i="1"/>
  <c r="E19" i="1"/>
  <c r="H18" i="1"/>
  <c r="E18" i="1"/>
  <c r="H17" i="1"/>
  <c r="E17" i="1"/>
  <c r="H16" i="1"/>
  <c r="E16" i="1"/>
  <c r="H15" i="1"/>
  <c r="E15" i="1"/>
  <c r="H14" i="1"/>
  <c r="E14" i="1"/>
  <c r="H13" i="1"/>
  <c r="E13" i="1"/>
  <c r="H12" i="1"/>
  <c r="E12" i="1"/>
  <c r="H11" i="1"/>
  <c r="E11" i="1"/>
  <c r="H10" i="1"/>
  <c r="E10" i="1"/>
  <c r="H9" i="1"/>
  <c r="E9" i="1"/>
  <c r="H8" i="1"/>
  <c r="E8" i="1"/>
  <c r="H7" i="1"/>
  <c r="E7" i="1"/>
  <c r="H6" i="1"/>
  <c r="E6" i="1"/>
  <c r="H5" i="1"/>
  <c r="E5" i="1"/>
  <c r="H4" i="1"/>
  <c r="E4" i="1"/>
</calcChain>
</file>

<file path=xl/sharedStrings.xml><?xml version="1.0" encoding="utf-8"?>
<sst xmlns="http://schemas.openxmlformats.org/spreadsheetml/2006/main" count="19" uniqueCount="19">
  <si>
    <t>Angle in °</t>
  </si>
  <si>
    <t>Lift max in N</t>
  </si>
  <si>
    <t>Lift min in N</t>
  </si>
  <si>
    <t>Lift avg in N</t>
  </si>
  <si>
    <t>Drag max in N</t>
  </si>
  <si>
    <t>Drag min in N</t>
  </si>
  <si>
    <t>Drag avg in N</t>
  </si>
  <si>
    <t>start</t>
  </si>
  <si>
    <t>end</t>
  </si>
  <si>
    <t>avg</t>
  </si>
  <si>
    <t>humidity</t>
  </si>
  <si>
    <t>temp. in °C</t>
  </si>
  <si>
    <t>amb. press. hPa</t>
  </si>
  <si>
    <t>g2</t>
  </si>
  <si>
    <t>Average Atmospheric Preassure =</t>
  </si>
  <si>
    <t>1001.25hPa</t>
  </si>
  <si>
    <t xml:space="preserve">Average Temp = </t>
  </si>
  <si>
    <t>20.1°C</t>
  </si>
  <si>
    <t>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</si>
</sst>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ptos Narrow"/>
      <family val="2"/>
    </font>
    <font>
      <sz val="12"/>
      <color rgb="FF000000"/>
      <name val="Times New Roman"/>
      <family val="1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C1F0C8"/>
        <bgColor rgb="FFC1F0C8"/>
      </patternFill>
    </fill>
    <fill>
      <patternFill patternType="solid">
        <fgColor rgb="FFF7C7AC"/>
        <bgColor rgb="FFF7C7AC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0" fontId="1" fillId="2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0" borderId="7" xfId="0" applyFont="1" applyBorder="1"/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6" xfId="0" applyBorder="1"/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/>
    <xf numFmtId="0" fontId="1" fillId="0" borderId="12" xfId="0" applyFont="1" applyBorder="1"/>
    <xf numFmtId="0" fontId="1" fillId="0" borderId="0" xfId="0" applyFont="1"/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0" fontId="1" fillId="0" borderId="6" xfId="0" applyNumberFormat="1" applyFont="1" applyBorder="1" applyAlignment="1">
      <alignment horizontal="center" vertical="center"/>
    </xf>
    <xf numFmtId="10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0" xfId="0" applyFont="1"/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2" borderId="18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14CB9-ED36-44E5-98BF-0A6ABE643F6A}">
  <dimension ref="A2:K37"/>
  <sheetViews>
    <sheetView tabSelected="1" workbookViewId="0">
      <selection activeCell="I41" sqref="I41"/>
    </sheetView>
  </sheetViews>
  <sheetFormatPr defaultColWidth="11.44140625" defaultRowHeight="14.4" x14ac:dyDescent="0.3"/>
  <cols>
    <col min="1" max="1" width="13.44140625" customWidth="1"/>
    <col min="2" max="13" width="13.6640625" customWidth="1"/>
    <col min="14" max="14" width="11.5546875" customWidth="1"/>
  </cols>
  <sheetData>
    <row r="2" spans="2:11" ht="15" thickBot="1" x14ac:dyDescent="0.35"/>
    <row r="3" spans="2:11" ht="15.6" x14ac:dyDescent="0.3">
      <c r="B3" s="1" t="s">
        <v>0</v>
      </c>
      <c r="C3" s="2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/>
      <c r="J3" s="3"/>
      <c r="K3" s="4"/>
    </row>
    <row r="4" spans="2:11" ht="15.6" x14ac:dyDescent="0.3">
      <c r="B4" s="5">
        <v>-2</v>
      </c>
      <c r="C4" s="27">
        <v>-2.29</v>
      </c>
      <c r="D4" s="27">
        <v>-2.3199999999999998</v>
      </c>
      <c r="E4" s="28">
        <f t="shared" ref="E4:E21" si="0">AVERAGE(C4:D4)</f>
        <v>-2.3049999999999997</v>
      </c>
      <c r="F4" s="27">
        <v>1.24</v>
      </c>
      <c r="G4" s="27">
        <v>1.27</v>
      </c>
      <c r="H4" s="29">
        <f t="shared" ref="H4:H21" si="1">AVERAGE(F4:G4)</f>
        <v>1.2549999999999999</v>
      </c>
      <c r="I4" s="6"/>
      <c r="J4" s="6"/>
      <c r="K4" s="9"/>
    </row>
    <row r="5" spans="2:11" ht="15.6" x14ac:dyDescent="0.3">
      <c r="B5" s="10">
        <v>-1</v>
      </c>
      <c r="C5" s="27">
        <v>-0.24</v>
      </c>
      <c r="D5" s="27">
        <v>-0.31</v>
      </c>
      <c r="E5" s="28">
        <f t="shared" si="0"/>
        <v>-0.27500000000000002</v>
      </c>
      <c r="F5" s="27">
        <v>1.3</v>
      </c>
      <c r="G5" s="27">
        <v>1.32</v>
      </c>
      <c r="H5" s="29">
        <f t="shared" si="1"/>
        <v>1.31</v>
      </c>
      <c r="I5" s="6"/>
      <c r="J5" s="6"/>
      <c r="K5" s="9"/>
    </row>
    <row r="6" spans="2:11" ht="15.6" x14ac:dyDescent="0.3">
      <c r="B6" s="5">
        <v>0</v>
      </c>
      <c r="C6" s="27">
        <v>0.48</v>
      </c>
      <c r="D6" s="27">
        <v>0.5</v>
      </c>
      <c r="E6" s="28">
        <f t="shared" si="0"/>
        <v>0.49</v>
      </c>
      <c r="F6" s="27">
        <v>1.32</v>
      </c>
      <c r="G6" s="27">
        <v>1.35</v>
      </c>
      <c r="H6" s="29">
        <f t="shared" si="1"/>
        <v>1.335</v>
      </c>
      <c r="I6" s="6"/>
      <c r="J6" s="6"/>
      <c r="K6" s="9"/>
    </row>
    <row r="7" spans="2:11" ht="15.6" x14ac:dyDescent="0.3">
      <c r="B7" s="10">
        <v>1</v>
      </c>
      <c r="C7" s="27">
        <v>2.16</v>
      </c>
      <c r="D7" s="27">
        <v>2.2000000000000002</v>
      </c>
      <c r="E7" s="28">
        <f t="shared" si="0"/>
        <v>2.1800000000000002</v>
      </c>
      <c r="F7" s="27">
        <v>1.37</v>
      </c>
      <c r="G7" s="27">
        <v>1.41</v>
      </c>
      <c r="H7" s="29">
        <f t="shared" si="1"/>
        <v>1.3900000000000001</v>
      </c>
      <c r="I7" s="6"/>
      <c r="J7" s="6"/>
      <c r="K7" s="9"/>
    </row>
    <row r="8" spans="2:11" ht="15.6" x14ac:dyDescent="0.3">
      <c r="B8" s="5">
        <v>2</v>
      </c>
      <c r="C8" s="27">
        <v>3.9</v>
      </c>
      <c r="D8" s="27">
        <v>3.95</v>
      </c>
      <c r="E8" s="28">
        <f t="shared" si="0"/>
        <v>3.9249999999999998</v>
      </c>
      <c r="F8" s="27">
        <v>1.43</v>
      </c>
      <c r="G8" s="27">
        <v>1.46</v>
      </c>
      <c r="H8" s="29">
        <f t="shared" si="1"/>
        <v>1.4449999999999998</v>
      </c>
      <c r="I8" s="6"/>
      <c r="J8" s="6"/>
      <c r="K8" s="9"/>
    </row>
    <row r="9" spans="2:11" ht="15.6" x14ac:dyDescent="0.3">
      <c r="B9" s="10">
        <v>3</v>
      </c>
      <c r="C9" s="27">
        <v>5.07</v>
      </c>
      <c r="D9" s="27">
        <v>5.12</v>
      </c>
      <c r="E9" s="28">
        <f t="shared" si="0"/>
        <v>5.0950000000000006</v>
      </c>
      <c r="F9" s="27">
        <v>1.63</v>
      </c>
      <c r="G9" s="27">
        <v>1.64</v>
      </c>
      <c r="H9" s="29">
        <f t="shared" si="1"/>
        <v>1.6349999999999998</v>
      </c>
      <c r="I9" s="6"/>
      <c r="J9" s="6"/>
      <c r="K9" s="9"/>
    </row>
    <row r="10" spans="2:11" ht="15.6" x14ac:dyDescent="0.3">
      <c r="B10" s="5">
        <v>4</v>
      </c>
      <c r="C10" s="26">
        <v>5.3</v>
      </c>
      <c r="D10" s="26">
        <v>5.22</v>
      </c>
      <c r="E10" s="7">
        <f t="shared" si="0"/>
        <v>5.26</v>
      </c>
      <c r="F10" s="26">
        <v>1.36</v>
      </c>
      <c r="G10" s="26">
        <v>1.33</v>
      </c>
      <c r="H10" s="8">
        <f t="shared" si="1"/>
        <v>1.3450000000000002</v>
      </c>
      <c r="I10" s="6"/>
      <c r="J10" s="6"/>
      <c r="K10" s="9"/>
    </row>
    <row r="11" spans="2:11" ht="15.6" x14ac:dyDescent="0.3">
      <c r="B11" s="10">
        <v>5</v>
      </c>
      <c r="C11" s="11">
        <v>8.8699999999999992</v>
      </c>
      <c r="D11" s="11">
        <v>8.69</v>
      </c>
      <c r="E11" s="7">
        <f t="shared" si="0"/>
        <v>8.7799999999999994</v>
      </c>
      <c r="F11" s="11">
        <v>1.7</v>
      </c>
      <c r="G11" s="11">
        <v>1.65</v>
      </c>
      <c r="H11" s="8">
        <f t="shared" si="1"/>
        <v>1.6749999999999998</v>
      </c>
      <c r="I11" s="6"/>
      <c r="J11" s="6"/>
      <c r="K11" s="9"/>
    </row>
    <row r="12" spans="2:11" ht="15.6" x14ac:dyDescent="0.3">
      <c r="B12" s="10">
        <v>6</v>
      </c>
      <c r="C12" s="11">
        <v>10.59</v>
      </c>
      <c r="D12" s="11">
        <v>10.44</v>
      </c>
      <c r="E12" s="7">
        <f t="shared" si="0"/>
        <v>10.515000000000001</v>
      </c>
      <c r="F12" s="11">
        <v>1.91</v>
      </c>
      <c r="G12" s="11">
        <v>1.87</v>
      </c>
      <c r="H12" s="8">
        <f t="shared" si="1"/>
        <v>1.8900000000000001</v>
      </c>
      <c r="I12" s="6"/>
      <c r="J12" s="6"/>
      <c r="K12" s="9"/>
    </row>
    <row r="13" spans="2:11" ht="15.6" x14ac:dyDescent="0.3">
      <c r="B13" s="10">
        <v>7</v>
      </c>
      <c r="C13" s="11">
        <v>12.02</v>
      </c>
      <c r="D13" s="11">
        <v>11.76</v>
      </c>
      <c r="E13" s="7">
        <f t="shared" si="0"/>
        <v>11.89</v>
      </c>
      <c r="F13" s="11">
        <v>2.12</v>
      </c>
      <c r="G13" s="11">
        <v>2.06</v>
      </c>
      <c r="H13" s="8">
        <f t="shared" si="1"/>
        <v>2.09</v>
      </c>
      <c r="I13" s="6"/>
      <c r="J13" s="6"/>
      <c r="K13" s="9"/>
    </row>
    <row r="14" spans="2:11" ht="15.6" x14ac:dyDescent="0.3">
      <c r="B14" s="10">
        <v>8</v>
      </c>
      <c r="C14" s="11">
        <v>13.4</v>
      </c>
      <c r="D14" s="11">
        <v>13.17</v>
      </c>
      <c r="E14" s="7">
        <f t="shared" si="0"/>
        <v>13.285</v>
      </c>
      <c r="F14" s="11">
        <v>2.23</v>
      </c>
      <c r="G14" s="11">
        <v>2.19</v>
      </c>
      <c r="H14" s="8">
        <f t="shared" si="1"/>
        <v>2.21</v>
      </c>
      <c r="I14" s="6"/>
      <c r="J14" s="6"/>
      <c r="K14" s="9"/>
    </row>
    <row r="15" spans="2:11" ht="15.6" x14ac:dyDescent="0.3">
      <c r="B15" s="12">
        <v>9</v>
      </c>
      <c r="C15" s="11">
        <v>15.19</v>
      </c>
      <c r="D15" s="11">
        <v>14.91</v>
      </c>
      <c r="E15" s="7">
        <f t="shared" si="0"/>
        <v>15.05</v>
      </c>
      <c r="F15" s="11">
        <v>2.5</v>
      </c>
      <c r="G15" s="11">
        <v>2.4500000000000002</v>
      </c>
      <c r="H15" s="8">
        <f t="shared" si="1"/>
        <v>2.4750000000000001</v>
      </c>
      <c r="I15" s="6"/>
      <c r="J15" s="6"/>
      <c r="K15" s="9"/>
    </row>
    <row r="16" spans="2:11" ht="15.6" x14ac:dyDescent="0.3">
      <c r="B16" s="12">
        <v>10</v>
      </c>
      <c r="C16" s="11"/>
      <c r="D16" s="11"/>
      <c r="E16" s="7" t="e">
        <f t="shared" si="0"/>
        <v>#DIV/0!</v>
      </c>
      <c r="F16" s="11"/>
      <c r="G16" s="11"/>
      <c r="H16" s="8" t="e">
        <f t="shared" si="1"/>
        <v>#DIV/0!</v>
      </c>
      <c r="I16" s="6"/>
      <c r="J16" s="6"/>
      <c r="K16" s="9"/>
    </row>
    <row r="17" spans="1:11" ht="15.6" x14ac:dyDescent="0.3">
      <c r="B17" s="12">
        <v>11</v>
      </c>
      <c r="C17" s="13"/>
      <c r="D17" s="13"/>
      <c r="E17" s="7" t="e">
        <f t="shared" si="0"/>
        <v>#DIV/0!</v>
      </c>
      <c r="F17" s="6"/>
      <c r="G17" s="11"/>
      <c r="H17" s="8" t="e">
        <f t="shared" si="1"/>
        <v>#DIV/0!</v>
      </c>
      <c r="I17" s="6"/>
      <c r="J17" s="6"/>
      <c r="K17" s="9"/>
    </row>
    <row r="18" spans="1:11" ht="15.6" x14ac:dyDescent="0.3">
      <c r="B18" s="12">
        <v>12</v>
      </c>
      <c r="C18" s="13"/>
      <c r="D18" s="13"/>
      <c r="E18" s="7" t="e">
        <f t="shared" si="0"/>
        <v>#DIV/0!</v>
      </c>
      <c r="F18" s="6"/>
      <c r="G18" s="11"/>
      <c r="H18" s="8" t="e">
        <f t="shared" si="1"/>
        <v>#DIV/0!</v>
      </c>
      <c r="I18" s="6"/>
      <c r="J18" s="6"/>
      <c r="K18" s="9"/>
    </row>
    <row r="19" spans="1:11" ht="15.6" x14ac:dyDescent="0.3">
      <c r="B19" s="12">
        <v>13</v>
      </c>
      <c r="C19" s="13"/>
      <c r="D19" s="13"/>
      <c r="E19" s="7" t="e">
        <f t="shared" si="0"/>
        <v>#DIV/0!</v>
      </c>
      <c r="F19" s="6"/>
      <c r="G19" s="11"/>
      <c r="H19" s="8" t="e">
        <f t="shared" si="1"/>
        <v>#DIV/0!</v>
      </c>
      <c r="I19" s="6"/>
      <c r="J19" s="6"/>
      <c r="K19" s="9"/>
    </row>
    <row r="20" spans="1:11" ht="15.6" x14ac:dyDescent="0.3">
      <c r="B20" s="12">
        <v>14</v>
      </c>
      <c r="C20" s="13"/>
      <c r="D20" s="13"/>
      <c r="E20" s="7" t="e">
        <f t="shared" si="0"/>
        <v>#DIV/0!</v>
      </c>
      <c r="F20" s="6"/>
      <c r="G20" s="11"/>
      <c r="H20" s="8" t="e">
        <f t="shared" si="1"/>
        <v>#DIV/0!</v>
      </c>
      <c r="I20" s="6"/>
      <c r="J20" s="6"/>
      <c r="K20" s="9"/>
    </row>
    <row r="21" spans="1:11" ht="15.6" x14ac:dyDescent="0.3">
      <c r="B21" s="14">
        <v>15</v>
      </c>
      <c r="C21" s="15"/>
      <c r="D21" s="15"/>
      <c r="E21" s="7" t="e">
        <f t="shared" si="0"/>
        <v>#DIV/0!</v>
      </c>
      <c r="F21" s="15"/>
      <c r="G21" s="15"/>
      <c r="H21" s="8" t="e">
        <f t="shared" si="1"/>
        <v>#DIV/0!</v>
      </c>
      <c r="I21" s="15"/>
      <c r="J21" s="15"/>
      <c r="K21" s="16"/>
    </row>
    <row r="22" spans="1:11" ht="15.6" x14ac:dyDescent="0.3">
      <c r="B22" s="17"/>
      <c r="C22" s="17"/>
      <c r="D22" s="17"/>
      <c r="E22" s="17"/>
      <c r="F22" s="17"/>
      <c r="G22" s="17"/>
      <c r="H22" s="17"/>
      <c r="I22" s="17"/>
      <c r="J22" s="17"/>
      <c r="K22" s="17"/>
    </row>
    <row r="23" spans="1:11" ht="15.6" x14ac:dyDescent="0.3"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spans="1:11" ht="15.6" x14ac:dyDescent="0.3"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spans="1:11" ht="15.6" x14ac:dyDescent="0.3"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 ht="15.6" x14ac:dyDescent="0.3">
      <c r="B26" s="1"/>
      <c r="C26" s="18" t="s">
        <v>7</v>
      </c>
      <c r="D26" s="18" t="s">
        <v>8</v>
      </c>
      <c r="E26" s="19" t="s">
        <v>9</v>
      </c>
      <c r="F26" s="17"/>
      <c r="G26" s="17"/>
      <c r="H26" s="17"/>
      <c r="I26" s="17"/>
      <c r="J26" s="17"/>
      <c r="K26" s="17"/>
    </row>
    <row r="27" spans="1:11" ht="15.6" x14ac:dyDescent="0.3">
      <c r="B27" s="12" t="s">
        <v>10</v>
      </c>
      <c r="C27" s="20">
        <v>0.46899999999999997</v>
      </c>
      <c r="D27" s="20">
        <v>0.45100000000000001</v>
      </c>
      <c r="E27" s="21">
        <f>AVERAGE(C27:D27)</f>
        <v>0.45999999999999996</v>
      </c>
    </row>
    <row r="28" spans="1:11" ht="15.6" x14ac:dyDescent="0.3">
      <c r="A28" t="s">
        <v>13</v>
      </c>
      <c r="B28" s="12" t="s">
        <v>11</v>
      </c>
      <c r="C28" s="11">
        <v>19.2</v>
      </c>
      <c r="D28" s="11">
        <v>20.6</v>
      </c>
      <c r="E28" s="22">
        <f>AVERAGE(C28:D28)</f>
        <v>19.899999999999999</v>
      </c>
    </row>
    <row r="29" spans="1:11" ht="15.6" x14ac:dyDescent="0.3">
      <c r="B29" s="14" t="s">
        <v>12</v>
      </c>
      <c r="C29" s="23">
        <v>1002.9</v>
      </c>
      <c r="D29" s="23">
        <v>1003.3</v>
      </c>
      <c r="E29" s="24">
        <f>AVERAGE(C29:D29)</f>
        <v>1003.0999999999999</v>
      </c>
    </row>
    <row r="34" spans="1:4" x14ac:dyDescent="0.3">
      <c r="A34" s="30"/>
      <c r="B34" s="30"/>
      <c r="C34" s="25"/>
    </row>
    <row r="35" spans="1:4" x14ac:dyDescent="0.3">
      <c r="A35" s="30"/>
      <c r="B35" s="30"/>
      <c r="C35" s="25"/>
    </row>
    <row r="36" spans="1:4" x14ac:dyDescent="0.3">
      <c r="A36" t="s">
        <v>18</v>
      </c>
      <c r="B36" s="30" t="s">
        <v>14</v>
      </c>
      <c r="C36" s="30"/>
      <c r="D36" s="25" t="s">
        <v>15</v>
      </c>
    </row>
    <row r="37" spans="1:4" x14ac:dyDescent="0.3">
      <c r="B37" s="30" t="s">
        <v>16</v>
      </c>
      <c r="C37" s="30"/>
      <c r="D37" s="25" t="s">
        <v>17</v>
      </c>
    </row>
  </sheetData>
  <mergeCells count="4">
    <mergeCell ref="A34:B34"/>
    <mergeCell ref="A35:B35"/>
    <mergeCell ref="B36:C36"/>
    <mergeCell ref="B37:C37"/>
  </mergeCells>
  <pageMargins left="0.70000000000000007" right="0.70000000000000007" top="0.78740157500000008" bottom="0.78740157500000008" header="0.30000000000000004" footer="0.30000000000000004"/>
  <pageSetup scale="0" firstPageNumber="0" fitToWidth="0" fitToHeight="0" orientation="portrait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B77D17EB858E4BB4FFA17E28B4173A" ma:contentTypeVersion="4" ma:contentTypeDescription="Create a new document." ma:contentTypeScope="" ma:versionID="cfc523aa3dec3be3ef62be456793b544">
  <xsd:schema xmlns:xsd="http://www.w3.org/2001/XMLSchema" xmlns:xs="http://www.w3.org/2001/XMLSchema" xmlns:p="http://schemas.microsoft.com/office/2006/metadata/properties" xmlns:ns2="5418a382-16e9-4b6e-9216-45c260aed3cc" targetNamespace="http://schemas.microsoft.com/office/2006/metadata/properties" ma:root="true" ma:fieldsID="1df7e6edaa7e62b3618a0805b8d257bc" ns2:_="">
    <xsd:import namespace="5418a382-16e9-4b6e-9216-45c260aed3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18a382-16e9-4b6e-9216-45c260aed3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EF4AA7-C3ED-411A-9073-7E4790DC3E2B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http://www.w3.org/XML/1998/namespace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5418a382-16e9-4b6e-9216-45c260aed3cc"/>
  </ds:schemaRefs>
</ds:datastoreItem>
</file>

<file path=customXml/itemProps2.xml><?xml version="1.0" encoding="utf-8"?>
<ds:datastoreItem xmlns:ds="http://schemas.openxmlformats.org/officeDocument/2006/customXml" ds:itemID="{74C1223B-D6D3-43A9-9548-34F9ABAF0F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781924-2C8B-493D-A210-F4E54BDBB311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5418a382-16e9-4b6e-9216-45c260aed3cc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Erik Schefner</dc:creator>
  <cp:keywords/>
  <dc:description/>
  <cp:lastModifiedBy>Opprah Manyika</cp:lastModifiedBy>
  <cp:revision/>
  <dcterms:created xsi:type="dcterms:W3CDTF">2024-12-02T13:57:15Z</dcterms:created>
  <dcterms:modified xsi:type="dcterms:W3CDTF">2025-01-07T11:18:56Z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0x010100A2B77D17EB858E4BB4FFA17E28B4173A</vt:lpwstr>
  </property>
</Properties>
</file>